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cargas\"/>
    </mc:Choice>
  </mc:AlternateContent>
  <xr:revisionPtr revIDLastSave="0" documentId="8_{D2468909-0CFF-4C69-9F0B-3E2A985B29C1}" xr6:coauthVersionLast="47" xr6:coauthVersionMax="47" xr10:uidLastSave="{00000000-0000-0000-0000-000000000000}"/>
  <bookViews>
    <workbookView xWindow="-120" yWindow="-120" windowWidth="20640" windowHeight="11040" xr2:uid="{585294B5-D099-4BA5-A747-1FE8529DF606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2" i="1"/>
  <c r="G3" i="1"/>
  <c r="G4" i="1"/>
  <c r="G5" i="1"/>
  <c r="G6" i="1"/>
  <c r="G7" i="1"/>
  <c r="G8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" i="1"/>
</calcChain>
</file>

<file path=xl/sharedStrings.xml><?xml version="1.0" encoding="utf-8"?>
<sst xmlns="http://schemas.openxmlformats.org/spreadsheetml/2006/main" count="61" uniqueCount="61">
  <si>
    <t>Empresa</t>
  </si>
  <si>
    <t>Pendiente_Beta</t>
  </si>
  <si>
    <t>SOIL</t>
  </si>
  <si>
    <t>KEI</t>
  </si>
  <si>
    <t>IPO</t>
  </si>
  <si>
    <t>VLE</t>
  </si>
  <si>
    <t>TNZ</t>
  </si>
  <si>
    <t>RBY</t>
  </si>
  <si>
    <t>QEC</t>
  </si>
  <si>
    <t>PRQ</t>
  </si>
  <si>
    <t>PPR</t>
  </si>
  <si>
    <t>CDR</t>
  </si>
  <si>
    <t>BNG</t>
  </si>
  <si>
    <t>VUX</t>
  </si>
  <si>
    <t>TPL</t>
  </si>
  <si>
    <t>SOU</t>
  </si>
  <si>
    <t>MAH</t>
  </si>
  <si>
    <t>HME</t>
  </si>
  <si>
    <t>EW</t>
  </si>
  <si>
    <t>CTA</t>
  </si>
  <si>
    <t>AXL</t>
  </si>
  <si>
    <t>EPSN</t>
  </si>
  <si>
    <t>USEG</t>
  </si>
  <si>
    <t>PHX</t>
  </si>
  <si>
    <t>MXC</t>
  </si>
  <si>
    <t>BRN</t>
  </si>
  <si>
    <t>PBEGF</t>
  </si>
  <si>
    <t>RDFEF</t>
  </si>
  <si>
    <t>SPND</t>
  </si>
  <si>
    <t>Simbolo</t>
  </si>
  <si>
    <t>Saturn Oil</t>
  </si>
  <si>
    <t>Kolibri Global Energy</t>
  </si>
  <si>
    <t>InPlay Oil</t>
  </si>
  <si>
    <t>Valeura Energy Inc</t>
  </si>
  <si>
    <t>Tenaz Energy</t>
  </si>
  <si>
    <t>Rubellite Energy</t>
  </si>
  <si>
    <t>Questerre Energy Corporation</t>
  </si>
  <si>
    <t>Petrus Resources</t>
  </si>
  <si>
    <t>Prairie Provident</t>
  </si>
  <si>
    <t>Condor Energies</t>
  </si>
  <si>
    <t>Bengal Energy</t>
  </si>
  <si>
    <t>Vital Energy C</t>
  </si>
  <si>
    <t>Tethys Petroleum</t>
  </si>
  <si>
    <t>Southern Energy</t>
  </si>
  <si>
    <t>Marksmen Energy Inc</t>
  </si>
  <si>
    <t>Hemisphere Energy Corporation</t>
  </si>
  <si>
    <t>East West Petroleum Corp</t>
  </si>
  <si>
    <t>Centaurus Energy Inc</t>
  </si>
  <si>
    <t>Arrow Exploration</t>
  </si>
  <si>
    <t>Epsilon Energy</t>
  </si>
  <si>
    <t>US Energy</t>
  </si>
  <si>
    <t>PHX Minerals</t>
  </si>
  <si>
    <t>Mexco Energy</t>
  </si>
  <si>
    <t>Barnwell Industries</t>
  </si>
  <si>
    <t>Touchstone Exploration</t>
  </si>
  <si>
    <t>Brookside Energy</t>
  </si>
  <si>
    <t>Spindletop Oil and Gas</t>
  </si>
  <si>
    <t>% Capital</t>
  </si>
  <si>
    <t>% Deuda</t>
  </si>
  <si>
    <t>Tasa Impositiva</t>
  </si>
  <si>
    <t>Beta_Desapalancado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</si>
</sst>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Archivos%20Guardados\FIEECS%20-%20UNI\Ciclo%202025%20-%202\Taller%20de%20Investigacion\Datos%20a%20usar\Final%20WACC.xlsx" TargetMode="External"/><Relationship Id="rId1" Type="http://schemas.openxmlformats.org/officeDocument/2006/relationships/externalLinkPath" Target="/Archivos%20Guardados/FIEECS%20-%20UNI/Ciclo%202025%20-%202/Taller%20de%20Investigacion/Datos%20a%20usar/Final%20WAC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icio"/>
      <sheetName val="Betas"/>
      <sheetName val="Beta Ajustado"/>
      <sheetName val="Analisis Beta"/>
      <sheetName val="Cálculo del Cok"/>
      <sheetName val="Simulación Reporte"/>
      <sheetName val="RiskSim"/>
      <sheetName val="CB_DATA_"/>
      <sheetName val="Simulación de Montecarlo"/>
      <sheetName val="Simulación de Montecarlo (2)"/>
    </sheetNames>
    <sheetDataSet>
      <sheetData sheetId="0"/>
      <sheetData sheetId="1">
        <row r="3">
          <cell r="K3" t="str">
            <v>% Capital</v>
          </cell>
        </row>
        <row r="4">
          <cell r="C4" t="str">
            <v>Empresa</v>
          </cell>
        </row>
        <row r="5">
          <cell r="C5" t="str">
            <v>Saturn Oil</v>
          </cell>
          <cell r="K5">
            <v>0.97799999999999998</v>
          </cell>
        </row>
        <row r="6">
          <cell r="C6" t="str">
            <v>Kolibri Global Energy</v>
          </cell>
          <cell r="K6">
            <v>1</v>
          </cell>
        </row>
        <row r="7">
          <cell r="C7" t="str">
            <v>InPlay Oil</v>
          </cell>
          <cell r="K7">
            <v>0.79600000000000004</v>
          </cell>
        </row>
        <row r="8">
          <cell r="C8" t="str">
            <v>Permex Petroleum</v>
          </cell>
          <cell r="K8">
            <v>0</v>
          </cell>
        </row>
        <row r="9">
          <cell r="C9" t="str">
            <v>Valeura Energy Inc</v>
          </cell>
          <cell r="K9">
            <v>0.875</v>
          </cell>
        </row>
        <row r="10">
          <cell r="C10" t="str">
            <v>Tenaz Energy</v>
          </cell>
          <cell r="K10">
            <v>0.998</v>
          </cell>
        </row>
        <row r="11">
          <cell r="C11" t="str">
            <v>Rubellite Energy</v>
          </cell>
          <cell r="K11">
            <v>0.81100000000000005</v>
          </cell>
        </row>
        <row r="12">
          <cell r="C12" t="str">
            <v>Questerre Energy Corporation</v>
          </cell>
          <cell r="K12">
            <v>0.997</v>
          </cell>
        </row>
        <row r="13">
          <cell r="C13" t="str">
            <v>Petrus Resources</v>
          </cell>
          <cell r="K13">
            <v>0.76600000000000001</v>
          </cell>
        </row>
        <row r="14">
          <cell r="C14" t="str">
            <v>Prairie Provident</v>
          </cell>
          <cell r="K14">
            <v>0.374</v>
          </cell>
        </row>
        <row r="15">
          <cell r="C15" t="str">
            <v>Condor Energies</v>
          </cell>
          <cell r="K15">
            <v>0.93400000000000005</v>
          </cell>
        </row>
        <row r="16">
          <cell r="C16" t="str">
            <v>Bengal Energy</v>
          </cell>
          <cell r="K16">
            <v>0.999</v>
          </cell>
        </row>
        <row r="17">
          <cell r="C17" t="str">
            <v>Vital Energy C</v>
          </cell>
          <cell r="K17">
            <v>0.997</v>
          </cell>
        </row>
        <row r="18">
          <cell r="C18" t="str">
            <v>Tethys Petroleum</v>
          </cell>
          <cell r="K18">
            <v>1</v>
          </cell>
        </row>
        <row r="19">
          <cell r="C19" t="str">
            <v>Southern Energy</v>
          </cell>
          <cell r="K19">
            <v>0.56100000000000005</v>
          </cell>
        </row>
        <row r="20">
          <cell r="C20" t="str">
            <v>Reconnaissance Energy Africa</v>
          </cell>
          <cell r="K20">
            <v>0</v>
          </cell>
        </row>
        <row r="21">
          <cell r="C21" t="str">
            <v>Pulse Oil</v>
          </cell>
          <cell r="K21">
            <v>1</v>
          </cell>
        </row>
        <row r="22">
          <cell r="C22" t="str">
            <v>Prospera Energy</v>
          </cell>
          <cell r="K22">
            <v>0</v>
          </cell>
        </row>
        <row r="23">
          <cell r="C23" t="str">
            <v>New Zealand Energy Corp</v>
          </cell>
          <cell r="K23">
            <v>0.72799999999999998</v>
          </cell>
        </row>
        <row r="24">
          <cell r="C24" t="str">
            <v>Marksmen Energy Inc</v>
          </cell>
          <cell r="K24">
            <v>0.79700000000000004</v>
          </cell>
        </row>
        <row r="25">
          <cell r="C25" t="str">
            <v>Lycos Energy</v>
          </cell>
          <cell r="K25">
            <v>0.996</v>
          </cell>
        </row>
        <row r="26">
          <cell r="C26" t="str">
            <v>Hemisphere Energy Corporation</v>
          </cell>
          <cell r="K26">
            <v>0.97399999999999998</v>
          </cell>
        </row>
        <row r="27">
          <cell r="C27" t="str">
            <v>East West Petroleum Corp</v>
          </cell>
          <cell r="K27">
            <v>1</v>
          </cell>
        </row>
        <row r="28">
          <cell r="C28" t="str">
            <v>Centaurus Energy Inc</v>
          </cell>
          <cell r="K28">
            <v>0.25600000000000001</v>
          </cell>
        </row>
        <row r="29">
          <cell r="C29" t="str">
            <v>Coelacanth Energy</v>
          </cell>
          <cell r="K29">
            <v>0.997</v>
          </cell>
        </row>
        <row r="30">
          <cell r="C30" t="str">
            <v>Arrow Exploration</v>
          </cell>
          <cell r="K30">
            <v>0.995</v>
          </cell>
        </row>
        <row r="31">
          <cell r="C31" t="str">
            <v>PetroFrontier Corp</v>
          </cell>
          <cell r="K31">
            <v>0.88400000000000001</v>
          </cell>
        </row>
        <row r="32">
          <cell r="C32" t="str">
            <v xml:space="preserve">Perpetual Energy Lnc </v>
          </cell>
          <cell r="K32">
            <v>0.42</v>
          </cell>
        </row>
        <row r="33">
          <cell r="C33" t="str">
            <v>Epsilon Energy</v>
          </cell>
          <cell r="K33">
            <v>0.99</v>
          </cell>
        </row>
        <row r="34">
          <cell r="C34" t="str">
            <v>US Energy</v>
          </cell>
          <cell r="K34">
            <v>0.81399999999999995</v>
          </cell>
        </row>
        <row r="35">
          <cell r="C35" t="str">
            <v>PHX Minerals</v>
          </cell>
          <cell r="K35">
            <v>0.77500000000000002</v>
          </cell>
        </row>
        <row r="36">
          <cell r="C36" t="str">
            <v>Mexco Energy</v>
          </cell>
          <cell r="K36">
            <v>0.997</v>
          </cell>
        </row>
        <row r="37">
          <cell r="C37" t="str">
            <v>Indonesia Energy</v>
          </cell>
          <cell r="K37">
            <v>0</v>
          </cell>
        </row>
        <row r="38">
          <cell r="C38" t="str">
            <v>Barnwell Industries</v>
          </cell>
          <cell r="K38">
            <v>0.998</v>
          </cell>
        </row>
        <row r="39">
          <cell r="C39" t="str">
            <v>Houston American Energy</v>
          </cell>
          <cell r="K39">
            <v>0.99299999999999999</v>
          </cell>
        </row>
        <row r="40">
          <cell r="C40" t="str">
            <v>Touchstone Exploration</v>
          </cell>
          <cell r="K40">
            <v>0.80500000000000005</v>
          </cell>
        </row>
        <row r="41">
          <cell r="C41" t="str">
            <v>Brookside Energy</v>
          </cell>
          <cell r="K41">
            <v>1</v>
          </cell>
        </row>
        <row r="42">
          <cell r="C42" t="str">
            <v>Ladero Oil</v>
          </cell>
          <cell r="K42">
            <v>0.54400000000000004</v>
          </cell>
        </row>
        <row r="43">
          <cell r="C43" t="str">
            <v>Spindletop Oil and Gas</v>
          </cell>
          <cell r="K43">
            <v>1</v>
          </cell>
        </row>
        <row r="45">
          <cell r="C45" t="str">
            <v>1 de enero del 2023</v>
          </cell>
        </row>
        <row r="46">
          <cell r="C46" t="str">
            <v>23 de mayo del 2024</v>
          </cell>
        </row>
        <row r="52">
          <cell r="K52" t="str">
            <v>Empresas que no cotizan en bolsa</v>
          </cell>
        </row>
        <row r="53">
          <cell r="K53" t="str">
            <v>Empresas que no tienen información de su estructura de capital en el año 2023</v>
          </cell>
        </row>
        <row r="54">
          <cell r="K54" t="str">
            <v>Empresa que tienen mayor deuda que capital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D2D94-7081-4D91-B08D-A2F92B33431A}">
  <dimension ref="A1:G28"/>
  <sheetViews>
    <sheetView tabSelected="1" workbookViewId="0">
      <selection activeCell="H6" sqref="H6"/>
    </sheetView>
  </sheetViews>
  <sheetFormatPr baseColWidth="10" defaultRowHeight="15" x14ac:dyDescent="0.25"/>
  <cols>
    <col min="1" max="1" width="29.140625" bestFit="1" customWidth="1"/>
    <col min="3" max="3" width="14.42578125" bestFit="1" customWidth="1"/>
    <col min="6" max="6" width="15" bestFit="1" customWidth="1"/>
    <col min="7" max="7" width="19.42578125" bestFit="1" customWidth="1"/>
  </cols>
  <sheetData>
    <row r="1" spans="1:7" x14ac:dyDescent="0.25">
      <c r="A1" t="s">
        <v>0</v>
      </c>
      <c r="B1" t="s">
        <v>29</v>
      </c>
      <c r="C1" t="s">
        <v>1</v>
      </c>
      <c r="D1" t="s">
        <v>57</v>
      </c>
      <c r="E1" t="s">
        <v>58</v>
      </c>
      <c r="F1" t="s">
        <v>59</v>
      </c>
      <c r="G1" t="s">
        <v>60</v>
      </c>
    </row>
    <row r="2" spans="1:7" x14ac:dyDescent="0.25">
      <c r="A2" t="s">
        <v>30</v>
      </c>
      <c r="B2" t="s">
        <v>2</v>
      </c>
      <c r="C2">
        <v>0.38852937526205539</v>
      </c>
      <c r="D2" s="1">
        <f>+_xlfn.XLOOKUP(A2,[1]Betas!$C:$C,[1]Betas!$K:$K)</f>
        <v>0.97799999999999998</v>
      </c>
      <c r="E2" s="1">
        <f>1-D2</f>
        <v>2.200000000000002E-2</v>
      </c>
      <c r="F2" s="1">
        <v>0.1164</v>
      </c>
      <c r="G2">
        <f>C2/(1+(1-F2)*(E2/D2))</f>
        <v>0.38095728442023347</v>
      </c>
    </row>
    <row r="3" spans="1:7" x14ac:dyDescent="0.25">
      <c r="A3" t="s">
        <v>31</v>
      </c>
      <c r="B3" t="s">
        <v>3</v>
      </c>
      <c r="C3">
        <v>0.89011805883723316</v>
      </c>
      <c r="D3" s="1">
        <f>+_xlfn.XLOOKUP(A3,[1]Betas!$C:$C,[1]Betas!$K:$K)</f>
        <v>1</v>
      </c>
      <c r="E3" s="1">
        <f t="shared" ref="E3:E28" si="0">1-D3</f>
        <v>0</v>
      </c>
      <c r="F3" s="1">
        <v>0</v>
      </c>
      <c r="G3">
        <f t="shared" ref="G3:G28" si="1">C3/(1+(1-F3)*(E3/D3))</f>
        <v>0.89011805883723316</v>
      </c>
    </row>
    <row r="4" spans="1:7" x14ac:dyDescent="0.25">
      <c r="A4" t="s">
        <v>32</v>
      </c>
      <c r="B4" t="s">
        <v>4</v>
      </c>
      <c r="C4">
        <v>0.34945618361329439</v>
      </c>
      <c r="D4" s="1">
        <f>+_xlfn.XLOOKUP(A4,[1]Betas!$C:$C,[1]Betas!$K:$K)</f>
        <v>0.79600000000000004</v>
      </c>
      <c r="E4" s="1">
        <f t="shared" si="0"/>
        <v>0.20399999999999996</v>
      </c>
      <c r="F4" s="1">
        <v>3.7199999999999997E-2</v>
      </c>
      <c r="G4">
        <f t="shared" si="1"/>
        <v>0.28029421892475853</v>
      </c>
    </row>
    <row r="5" spans="1:7" x14ac:dyDescent="0.25">
      <c r="A5" t="s">
        <v>33</v>
      </c>
      <c r="B5" t="s">
        <v>5</v>
      </c>
      <c r="C5">
        <v>9.4465224600183959E-2</v>
      </c>
      <c r="D5" s="1">
        <f>+_xlfn.XLOOKUP(A5,[1]Betas!$C:$C,[1]Betas!$K:$K)</f>
        <v>0.875</v>
      </c>
      <c r="E5" s="1">
        <f t="shared" si="0"/>
        <v>0.125</v>
      </c>
      <c r="F5" s="1">
        <v>0.1416</v>
      </c>
      <c r="G5">
        <f t="shared" si="1"/>
        <v>8.414646393684308E-2</v>
      </c>
    </row>
    <row r="6" spans="1:7" x14ac:dyDescent="0.25">
      <c r="A6" t="s">
        <v>34</v>
      </c>
      <c r="B6" t="s">
        <v>6</v>
      </c>
      <c r="C6">
        <v>0.44681047726861323</v>
      </c>
      <c r="D6" s="1">
        <f>+_xlfn.XLOOKUP(A6,[1]Betas!$C:$C,[1]Betas!$K:$K)</f>
        <v>0.998</v>
      </c>
      <c r="E6" s="1">
        <f t="shared" si="0"/>
        <v>2.0000000000000018E-3</v>
      </c>
      <c r="F6" s="1">
        <v>0</v>
      </c>
      <c r="G6">
        <f t="shared" si="1"/>
        <v>0.44591685631407607</v>
      </c>
    </row>
    <row r="7" spans="1:7" x14ac:dyDescent="0.25">
      <c r="A7" t="s">
        <v>35</v>
      </c>
      <c r="B7" t="s">
        <v>7</v>
      </c>
      <c r="C7">
        <v>0.31525533294787261</v>
      </c>
      <c r="D7" s="1">
        <f>+_xlfn.XLOOKUP(A7,[1]Betas!$C:$C,[1]Betas!$K:$K)</f>
        <v>0.81100000000000005</v>
      </c>
      <c r="E7" s="1">
        <f t="shared" si="0"/>
        <v>0.18899999999999995</v>
      </c>
      <c r="F7" s="1">
        <v>0.30230000000000001</v>
      </c>
      <c r="G7">
        <f t="shared" si="1"/>
        <v>0.27116500630654738</v>
      </c>
    </row>
    <row r="8" spans="1:7" x14ac:dyDescent="0.25">
      <c r="A8" t="s">
        <v>36</v>
      </c>
      <c r="B8" t="s">
        <v>8</v>
      </c>
      <c r="C8">
        <v>0.40205100119893961</v>
      </c>
      <c r="D8" s="1">
        <f>+_xlfn.XLOOKUP(A8,[1]Betas!$C:$C,[1]Betas!$K:$K)</f>
        <v>0.997</v>
      </c>
      <c r="E8" s="1">
        <f t="shared" si="0"/>
        <v>3.0000000000000027E-3</v>
      </c>
      <c r="F8" s="1">
        <v>0</v>
      </c>
      <c r="G8">
        <f t="shared" si="1"/>
        <v>0.40084484819534277</v>
      </c>
    </row>
    <row r="9" spans="1:7" x14ac:dyDescent="0.25">
      <c r="A9" t="s">
        <v>37</v>
      </c>
      <c r="B9" t="s">
        <v>9</v>
      </c>
      <c r="C9">
        <v>0.35823227246537848</v>
      </c>
      <c r="D9" s="1">
        <f>+_xlfn.XLOOKUP(A9,[1]Betas!$C:$C,[1]Betas!$K:$K)</f>
        <v>0.76600000000000001</v>
      </c>
      <c r="E9" s="1">
        <f t="shared" si="0"/>
        <v>0.23399999999999999</v>
      </c>
      <c r="F9" s="1">
        <v>0</v>
      </c>
      <c r="G9">
        <f>C9/(1+(1-F9)*(E9/D9))</f>
        <v>0.27440592070847997</v>
      </c>
    </row>
    <row r="10" spans="1:7" x14ac:dyDescent="0.25">
      <c r="A10" t="s">
        <v>38</v>
      </c>
      <c r="B10" t="s">
        <v>10</v>
      </c>
      <c r="C10">
        <v>0.2459836627168725</v>
      </c>
      <c r="D10" s="1">
        <f>+_xlfn.XLOOKUP(A10,[1]Betas!$C:$C,[1]Betas!$K:$K)</f>
        <v>0.374</v>
      </c>
      <c r="E10" s="1">
        <f t="shared" si="0"/>
        <v>0.626</v>
      </c>
      <c r="F10" s="1">
        <v>0</v>
      </c>
      <c r="G10">
        <f t="shared" si="1"/>
        <v>9.1997889856110307E-2</v>
      </c>
    </row>
    <row r="11" spans="1:7" x14ac:dyDescent="0.25">
      <c r="A11" t="s">
        <v>39</v>
      </c>
      <c r="B11" t="s">
        <v>11</v>
      </c>
      <c r="C11">
        <v>0.39645300391787258</v>
      </c>
      <c r="D11" s="1">
        <f>+_xlfn.XLOOKUP(A11,[1]Betas!$C:$C,[1]Betas!$K:$K)</f>
        <v>0.93400000000000005</v>
      </c>
      <c r="E11" s="1">
        <f t="shared" si="0"/>
        <v>6.5999999999999948E-2</v>
      </c>
      <c r="F11" s="1">
        <v>0</v>
      </c>
      <c r="G11">
        <f t="shared" si="1"/>
        <v>0.37028710565929301</v>
      </c>
    </row>
    <row r="12" spans="1:7" x14ac:dyDescent="0.25">
      <c r="A12" t="s">
        <v>40</v>
      </c>
      <c r="B12" t="s">
        <v>12</v>
      </c>
      <c r="C12">
        <v>0.1237705053754268</v>
      </c>
      <c r="D12" s="1">
        <f>+_xlfn.XLOOKUP(A12,[1]Betas!$C:$C,[1]Betas!$K:$K)</f>
        <v>0.999</v>
      </c>
      <c r="E12" s="1">
        <f t="shared" si="0"/>
        <v>1.0000000000000009E-3</v>
      </c>
      <c r="F12" s="1">
        <v>0</v>
      </c>
      <c r="G12">
        <f t="shared" si="1"/>
        <v>0.12364673487005137</v>
      </c>
    </row>
    <row r="13" spans="1:7" x14ac:dyDescent="0.25">
      <c r="A13" t="s">
        <v>41</v>
      </c>
      <c r="B13" t="s">
        <v>13</v>
      </c>
      <c r="C13">
        <v>0.20974781508982801</v>
      </c>
      <c r="D13" s="1">
        <f>+_xlfn.XLOOKUP(A13,[1]Betas!$C:$C,[1]Betas!$K:$K)</f>
        <v>0.997</v>
      </c>
      <c r="E13" s="1">
        <f t="shared" si="0"/>
        <v>3.0000000000000027E-3</v>
      </c>
      <c r="F13" s="1">
        <v>0</v>
      </c>
      <c r="G13">
        <f t="shared" si="1"/>
        <v>0.20911857164455852</v>
      </c>
    </row>
    <row r="14" spans="1:7" x14ac:dyDescent="0.25">
      <c r="A14" t="s">
        <v>42</v>
      </c>
      <c r="B14" t="s">
        <v>14</v>
      </c>
      <c r="C14">
        <v>0.1308942658825564</v>
      </c>
      <c r="D14" s="1">
        <f>+_xlfn.XLOOKUP(A14,[1]Betas!$C:$C,[1]Betas!$K:$K)</f>
        <v>1</v>
      </c>
      <c r="E14" s="1">
        <f t="shared" si="0"/>
        <v>0</v>
      </c>
      <c r="F14" s="1">
        <v>0.4723</v>
      </c>
      <c r="G14">
        <f t="shared" si="1"/>
        <v>0.1308942658825564</v>
      </c>
    </row>
    <row r="15" spans="1:7" x14ac:dyDescent="0.25">
      <c r="A15" t="s">
        <v>43</v>
      </c>
      <c r="B15" t="s">
        <v>15</v>
      </c>
      <c r="C15">
        <v>6.4194802228111331E-2</v>
      </c>
      <c r="D15" s="1">
        <f>+_xlfn.XLOOKUP(A15,[1]Betas!$C:$C,[1]Betas!$K:$K)</f>
        <v>0.56100000000000005</v>
      </c>
      <c r="E15" s="1">
        <f t="shared" si="0"/>
        <v>0.43899999999999995</v>
      </c>
      <c r="F15" s="1">
        <v>0</v>
      </c>
      <c r="G15">
        <f t="shared" si="1"/>
        <v>3.6013284049970465E-2</v>
      </c>
    </row>
    <row r="16" spans="1:7" x14ac:dyDescent="0.25">
      <c r="A16" t="s">
        <v>44</v>
      </c>
      <c r="B16" t="s">
        <v>16</v>
      </c>
      <c r="C16">
        <v>0.42078292682504292</v>
      </c>
      <c r="D16" s="1">
        <f>+_xlfn.XLOOKUP(A16,[1]Betas!$C:$C,[1]Betas!$K:$K)</f>
        <v>0.79700000000000004</v>
      </c>
      <c r="E16" s="1">
        <f t="shared" si="0"/>
        <v>0.20299999999999996</v>
      </c>
      <c r="F16" s="1">
        <v>0</v>
      </c>
      <c r="G16">
        <f t="shared" si="1"/>
        <v>0.33536399267955924</v>
      </c>
    </row>
    <row r="17" spans="1:7" x14ac:dyDescent="0.25">
      <c r="A17" t="s">
        <v>45</v>
      </c>
      <c r="B17" t="s">
        <v>17</v>
      </c>
      <c r="C17">
        <v>0.30796921496920648</v>
      </c>
      <c r="D17" s="1">
        <f>+_xlfn.XLOOKUP(A17,[1]Betas!$C:$C,[1]Betas!$K:$K)</f>
        <v>0.97399999999999998</v>
      </c>
      <c r="E17" s="1">
        <f t="shared" si="0"/>
        <v>2.6000000000000023E-2</v>
      </c>
      <c r="F17" s="1">
        <v>0.25480000000000003</v>
      </c>
      <c r="G17">
        <f t="shared" si="1"/>
        <v>0.30196245626023999</v>
      </c>
    </row>
    <row r="18" spans="1:7" x14ac:dyDescent="0.25">
      <c r="A18" t="s">
        <v>46</v>
      </c>
      <c r="B18" t="s">
        <v>18</v>
      </c>
      <c r="C18">
        <v>0.74755181935288106</v>
      </c>
      <c r="D18" s="1">
        <f>+_xlfn.XLOOKUP(A18,[1]Betas!$C:$C,[1]Betas!$K:$K)</f>
        <v>1</v>
      </c>
      <c r="E18" s="1">
        <f t="shared" si="0"/>
        <v>0</v>
      </c>
      <c r="F18" s="1">
        <v>0</v>
      </c>
      <c r="G18">
        <f t="shared" si="1"/>
        <v>0.74755181935288106</v>
      </c>
    </row>
    <row r="19" spans="1:7" x14ac:dyDescent="0.25">
      <c r="A19" t="s">
        <v>47</v>
      </c>
      <c r="B19" t="s">
        <v>19</v>
      </c>
      <c r="C19">
        <v>0.40695744873588041</v>
      </c>
      <c r="D19" s="1">
        <f>+_xlfn.XLOOKUP(A19,[1]Betas!$C:$C,[1]Betas!$K:$K)</f>
        <v>0.25600000000000001</v>
      </c>
      <c r="E19" s="1">
        <f t="shared" si="0"/>
        <v>0.74399999999999999</v>
      </c>
      <c r="F19" s="1">
        <v>0</v>
      </c>
      <c r="G19">
        <f t="shared" si="1"/>
        <v>0.10418110687638539</v>
      </c>
    </row>
    <row r="20" spans="1:7" x14ac:dyDescent="0.25">
      <c r="A20" t="s">
        <v>48</v>
      </c>
      <c r="B20" t="s">
        <v>20</v>
      </c>
      <c r="C20">
        <v>0.35110913154345452</v>
      </c>
      <c r="D20" s="1">
        <f>+_xlfn.XLOOKUP(A20,[1]Betas!$C:$C,[1]Betas!$K:$K)</f>
        <v>0.995</v>
      </c>
      <c r="E20" s="1">
        <f t="shared" si="0"/>
        <v>5.0000000000000044E-3</v>
      </c>
      <c r="F20" s="1">
        <v>0.6</v>
      </c>
      <c r="G20">
        <f t="shared" si="1"/>
        <v>0.35040480028659704</v>
      </c>
    </row>
    <row r="21" spans="1:7" x14ac:dyDescent="0.25">
      <c r="A21" t="s">
        <v>49</v>
      </c>
      <c r="B21" t="s">
        <v>21</v>
      </c>
      <c r="C21">
        <v>0.23463420786700559</v>
      </c>
      <c r="D21" s="1">
        <f>+_xlfn.XLOOKUP(A21,[1]Betas!$C:$C,[1]Betas!$K:$K)</f>
        <v>0.99</v>
      </c>
      <c r="E21" s="1">
        <f t="shared" si="0"/>
        <v>1.0000000000000009E-2</v>
      </c>
      <c r="F21" s="1">
        <v>0.3155</v>
      </c>
      <c r="G21">
        <f t="shared" si="1"/>
        <v>0.23302305352219807</v>
      </c>
    </row>
    <row r="22" spans="1:7" x14ac:dyDescent="0.25">
      <c r="A22" t="s">
        <v>50</v>
      </c>
      <c r="B22" t="s">
        <v>22</v>
      </c>
      <c r="C22">
        <v>9.822813904802415E-3</v>
      </c>
      <c r="D22" s="1">
        <f>+_xlfn.XLOOKUP(A22,[1]Betas!$C:$C,[1]Betas!$K:$K)</f>
        <v>0.81399999999999995</v>
      </c>
      <c r="E22" s="1">
        <f t="shared" si="0"/>
        <v>0.18600000000000005</v>
      </c>
      <c r="F22" s="1">
        <v>0</v>
      </c>
      <c r="G22">
        <f t="shared" si="1"/>
        <v>7.9957705185091654E-3</v>
      </c>
    </row>
    <row r="23" spans="1:7" x14ac:dyDescent="0.25">
      <c r="A23" t="s">
        <v>51</v>
      </c>
      <c r="B23" t="s">
        <v>23</v>
      </c>
      <c r="C23">
        <v>0.17864409425263231</v>
      </c>
      <c r="D23" s="1">
        <f>+_xlfn.XLOOKUP(A23,[1]Betas!$C:$C,[1]Betas!$K:$K)</f>
        <v>0.77500000000000002</v>
      </c>
      <c r="E23" s="1">
        <f t="shared" si="0"/>
        <v>0.22499999999999998</v>
      </c>
      <c r="F23" s="1">
        <v>0.25380000000000003</v>
      </c>
      <c r="G23">
        <f t="shared" si="1"/>
        <v>0.14683413640520954</v>
      </c>
    </row>
    <row r="24" spans="1:7" x14ac:dyDescent="0.25">
      <c r="A24" t="s">
        <v>52</v>
      </c>
      <c r="B24" t="s">
        <v>24</v>
      </c>
      <c r="C24">
        <v>0.16045216686137129</v>
      </c>
      <c r="D24" s="1">
        <f>+_xlfn.XLOOKUP(A24,[1]Betas!$C:$C,[1]Betas!$K:$K)</f>
        <v>0.997</v>
      </c>
      <c r="E24" s="1">
        <f t="shared" si="0"/>
        <v>3.0000000000000027E-3</v>
      </c>
      <c r="F24" s="1">
        <v>3.4099999999999998E-2</v>
      </c>
      <c r="G24">
        <f t="shared" si="1"/>
        <v>0.15998717704899929</v>
      </c>
    </row>
    <row r="25" spans="1:7" x14ac:dyDescent="0.25">
      <c r="A25" t="s">
        <v>53</v>
      </c>
      <c r="B25" t="s">
        <v>25</v>
      </c>
      <c r="C25">
        <v>3.6044430781869669E-2</v>
      </c>
      <c r="D25" s="1">
        <f>+_xlfn.XLOOKUP(A25,[1]Betas!$C:$C,[1]Betas!$K:$K)</f>
        <v>0.998</v>
      </c>
      <c r="E25" s="1">
        <f t="shared" si="0"/>
        <v>2.0000000000000018E-3</v>
      </c>
      <c r="F25" s="1">
        <v>0</v>
      </c>
      <c r="G25">
        <f t="shared" si="1"/>
        <v>3.5972341920305934E-2</v>
      </c>
    </row>
    <row r="26" spans="1:7" x14ac:dyDescent="0.25">
      <c r="A26" t="s">
        <v>54</v>
      </c>
      <c r="B26" t="s">
        <v>26</v>
      </c>
      <c r="C26">
        <v>0.51294675411890067</v>
      </c>
      <c r="D26" s="1">
        <f>+_xlfn.XLOOKUP(A26,[1]Betas!$C:$C,[1]Betas!$K:$K)</f>
        <v>0.80500000000000005</v>
      </c>
      <c r="E26" s="1">
        <f t="shared" si="0"/>
        <v>0.19499999999999995</v>
      </c>
      <c r="F26" s="1">
        <v>0</v>
      </c>
      <c r="G26">
        <f t="shared" si="1"/>
        <v>0.41292213706571507</v>
      </c>
    </row>
    <row r="27" spans="1:7" x14ac:dyDescent="0.25">
      <c r="A27" t="s">
        <v>55</v>
      </c>
      <c r="B27" t="s">
        <v>27</v>
      </c>
      <c r="C27">
        <v>0.1128348555635821</v>
      </c>
      <c r="D27" s="1">
        <f>+_xlfn.XLOOKUP(A27,[1]Betas!$C:$C,[1]Betas!$K:$K)</f>
        <v>1</v>
      </c>
      <c r="E27" s="1">
        <f t="shared" si="0"/>
        <v>0</v>
      </c>
      <c r="F27" s="1">
        <v>0</v>
      </c>
      <c r="G27">
        <f t="shared" si="1"/>
        <v>0.1128348555635821</v>
      </c>
    </row>
    <row r="28" spans="1:7" x14ac:dyDescent="0.25">
      <c r="A28" t="s">
        <v>56</v>
      </c>
      <c r="B28" t="s">
        <v>28</v>
      </c>
      <c r="C28">
        <v>0.1499698151440301</v>
      </c>
      <c r="D28" s="1">
        <f>+_xlfn.XLOOKUP(A28,[1]Betas!$C:$C,[1]Betas!$K:$K)</f>
        <v>1</v>
      </c>
      <c r="E28" s="1">
        <f t="shared" si="0"/>
        <v>0</v>
      </c>
      <c r="F28" s="1">
        <v>0</v>
      </c>
      <c r="G28">
        <f t="shared" si="1"/>
        <v>0.1499698151440301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MIGUEL HUAMANI ACOSTA</dc:creator>
  <cp:lastModifiedBy>EDUARDO MIGUEL HUAMANI ACOSTA</cp:lastModifiedBy>
  <dcterms:created xsi:type="dcterms:W3CDTF">2025-10-12T06:06:57Z</dcterms:created>
  <dcterms:modified xsi:type="dcterms:W3CDTF">2025-10-12T06:24:37Z</dcterms:modified>
</cp:coreProperties>
</file>